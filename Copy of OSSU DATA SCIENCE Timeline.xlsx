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imeline"/>
    <sheet r:id="rId2" sheetId="2" name="Curriculum Data"/>
  </sheets>
  <calcPr fullCalcOnLoad="1"/>
</workbook>
</file>

<file path=xl/sharedStrings.xml><?xml version="1.0" encoding="utf-8"?>
<sst xmlns="http://schemas.openxmlformats.org/spreadsheetml/2006/main" count="81" uniqueCount="60">
  <si>
    <t>Courses</t>
  </si>
  <si>
    <t>Topic</t>
  </si>
  <si>
    <t>Weeks</t>
  </si>
  <si>
    <t>Hours/Week</t>
  </si>
  <si>
    <t>Total Hours Lower Bound</t>
  </si>
  <si>
    <t>Total Hours Upper Bound</t>
  </si>
  <si>
    <t>Start Date Lower Bound</t>
  </si>
  <si>
    <t>End Date Estimate Lower Bound</t>
  </si>
  <si>
    <t>Start Date Upper Bound</t>
  </si>
  <si>
    <t>End Date Estimate Upper Bound</t>
  </si>
  <si>
    <t>Actual End Date</t>
  </si>
  <si>
    <t>What is Data Science</t>
  </si>
  <si>
    <t>Intro to DS</t>
  </si>
  <si>
    <t>Python for Everybody</t>
  </si>
  <si>
    <t>Intro to CS</t>
  </si>
  <si>
    <t>Introduction to Computer Science and Programming using Python</t>
  </si>
  <si>
    <t>Introduction to Computational Thinking and Data Science</t>
  </si>
  <si>
    <t>14-16</t>
  </si>
  <si>
    <t>Java Programming</t>
  </si>
  <si>
    <t>Data Structures and Algorithms</t>
  </si>
  <si>
    <t>Algorithms, Part I</t>
  </si>
  <si>
    <t>Algorithms, Part II</t>
  </si>
  <si>
    <t>Database Management Essentials</t>
  </si>
  <si>
    <t>Databases</t>
  </si>
  <si>
    <t>Data Warehouse Concepts, Design, and Data Integration</t>
  </si>
  <si>
    <t>Relational Database Support for Data Warehouses</t>
  </si>
  <si>
    <t>Business Intelligence Concepts, Tools, and Applications</t>
  </si>
  <si>
    <t>Design and Build a Data Warehouse for Business Intelligence Implementation</t>
  </si>
  <si>
    <t>MongoDB for Developers Learning Path</t>
  </si>
  <si>
    <t>Calculus 1A: Differentiation</t>
  </si>
  <si>
    <t>Single Variable Calculus</t>
  </si>
  <si>
    <t>13 weeks</t>
  </si>
  <si>
    <t>Calculus 1B: Integration</t>
  </si>
  <si>
    <t>Calculus 1C: Coordinate Systems &amp; Infinite Series</t>
  </si>
  <si>
    <t>6 weeks</t>
  </si>
  <si>
    <t>Linear Algebra</t>
  </si>
  <si>
    <t>Multivariable Calculus</t>
  </si>
  <si>
    <t>Introduction to Probability</t>
  </si>
  <si>
    <t>Statistics &amp; Probability</t>
  </si>
  <si>
    <t>Intro to Descriptive Statistics</t>
  </si>
  <si>
    <t>Intro to Inferential Statistics</t>
  </si>
  <si>
    <t>Tools for Data Science</t>
  </si>
  <si>
    <t>Data Science Tools &amp; Methods</t>
  </si>
  <si>
    <t>Data Science Methodology</t>
  </si>
  <si>
    <t>Data Science: Wrangling</t>
  </si>
  <si>
    <t>Machine Learning</t>
  </si>
  <si>
    <t>Machine Learning/Data Mining</t>
  </si>
  <si>
    <t>Intro to Machine Learning</t>
  </si>
  <si>
    <t>Mining Massive Datasets</t>
  </si>
  <si>
    <t>Process Mining</t>
  </si>
  <si>
    <t>Start Date</t>
  </si>
  <si>
    <t>Hours of per week</t>
  </si>
  <si>
    <t>Estimated Date of Completion</t>
  </si>
  <si>
    <t>Get Your Own Copy</t>
  </si>
  <si>
    <t>Enter the date you started studying</t>
  </si>
  <si>
    <t>Enter the number you will commit</t>
  </si>
  <si>
    <t>Lower Bound</t>
  </si>
  <si>
    <t>Upper Bound</t>
  </si>
  <si>
    <t>CLICK HERE</t>
  </si>
  <si>
    <t>13/01/2026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</si>
</sst>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m-d"/>
    <numFmt numFmtId="165" formatCode="yyyy-mm-dd"/>
    <numFmt numFmtId="166" formatCode="mm/dd/yyyy"/>
    <numFmt numFmtId="167" formatCode="yyyy mmm dd"/>
  </numFmts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b/>
      <u/>
      <sz val="18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fc5e8"/>
      </patternFill>
    </fill>
    <fill>
      <patternFill patternType="solid">
        <fgColor rgb="FFb4a7d6"/>
      </patternFill>
    </fill>
    <fill>
      <patternFill patternType="solid">
        <fgColor rgb="FFffffff"/>
      </patternFill>
    </fill>
    <fill>
      <patternFill patternType="solid">
        <fgColor rgb="FFf9cb9c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6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center" wrapText="1"/>
    </xf>
    <xf xfId="0" numFmtId="164" applyNumberFormat="1" borderId="1" applyBorder="1" fontId="1" applyFont="1" fillId="0" applyAlignment="1">
      <alignment horizontal="center" wrapText="1"/>
    </xf>
    <xf xfId="0" numFmtId="3" applyNumberFormat="1" borderId="2" applyBorder="1" fontId="1" applyFont="1" fillId="2" applyFill="1" applyAlignment="1">
      <alignment horizontal="center" wrapText="1"/>
    </xf>
    <xf xfId="0" numFmtId="3" applyNumberFormat="1" borderId="2" applyBorder="1" fontId="1" applyFont="1" fillId="3" applyFill="1" applyAlignment="1">
      <alignment horizontal="center" wrapText="1"/>
    </xf>
    <xf xfId="0" numFmtId="165" applyNumberFormat="1" borderId="2" applyBorder="1" fontId="1" applyFont="1" fillId="2" applyFill="1" applyAlignment="1">
      <alignment horizontal="center" wrapText="1"/>
    </xf>
    <xf xfId="0" numFmtId="165" applyNumberFormat="1" borderId="2" applyBorder="1" fontId="1" applyFont="1" fillId="3" applyFill="1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0" borderId="2" applyBorder="1" fontId="2" applyFont="1" fillId="4" applyFill="1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center"/>
    </xf>
    <xf xfId="0" numFmtId="165" applyNumberFormat="1" borderId="1" applyBorder="1" fontId="3" applyFont="1" fillId="0" applyAlignment="1">
      <alignment horizontal="left"/>
    </xf>
    <xf xfId="0" numFmtId="165" applyNumberFormat="1" borderId="1" applyBorder="1" fontId="3" applyFont="1" fillId="0" applyAlignment="1">
      <alignment horizontal="center"/>
    </xf>
    <xf xfId="0" numFmtId="165" applyNumberFormat="1" borderId="2" applyBorder="1" fontId="3" applyFont="1" fillId="5" applyFill="1" applyAlignment="1">
      <alignment horizontal="center"/>
    </xf>
    <xf xfId="0" numFmtId="0" borderId="1" applyBorder="1" fontId="2" applyFont="1" fillId="0" applyAlignment="1">
      <alignment horizontal="left"/>
    </xf>
    <xf xfId="0" numFmtId="164" applyNumberFormat="1" borderId="1" applyBorder="1" fontId="3" applyFont="1" fillId="0" applyAlignment="1">
      <alignment horizontal="center"/>
    </xf>
    <xf xfId="0" numFmtId="0" borderId="2" applyBorder="1" fontId="3" applyFont="1" fillId="5" applyFill="1" applyAlignment="1">
      <alignment horizontal="center"/>
    </xf>
    <xf xfId="0" numFmtId="0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0" borderId="2" applyBorder="1" fontId="3" applyFont="1" fillId="5" applyFill="1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165" applyNumberFormat="1" borderId="0" fontId="0" fillId="0" applyAlignment="1">
      <alignment horizontal="general"/>
    </xf>
    <xf xfId="0" numFmtId="165" applyNumberFormat="1" borderId="0" fontId="0" fillId="0" applyAlignment="1">
      <alignment horizontal="center"/>
    </xf>
    <xf xfId="0" numFmtId="166" applyNumberFormat="1" borderId="1" applyBorder="1" fontId="3" applyFont="1" fillId="0" applyAlignment="1">
      <alignment horizontal="center" wrapText="1"/>
    </xf>
    <xf xfId="0" numFmtId="3" applyNumberFormat="1" borderId="1" applyBorder="1" fontId="3" applyFont="1" fillId="0" applyAlignment="1">
      <alignment horizontal="center" wrapText="1"/>
    </xf>
    <xf xfId="0" numFmtId="167" applyNumberFormat="1" borderId="1" applyBorder="1" fontId="3" applyFont="1" fillId="0" applyAlignment="1">
      <alignment horizontal="center"/>
    </xf>
    <xf xfId="0" numFmtId="167" applyNumberFormat="1" borderId="0" fontId="0" fillId="0" applyAlignment="1">
      <alignment horizontal="general"/>
    </xf>
    <xf xfId="0" numFmtId="0" borderId="1" applyBorder="1" fontId="4" applyFont="1" fillId="0" applyAlignment="1">
      <alignment horizontal="left"/>
    </xf>
    <xf xfId="0" numFmtId="166" applyNumberFormat="1" borderId="1" applyBorder="1" fontId="1" applyFont="1" fillId="0" applyAlignment="1">
      <alignment horizontal="center" wrapText="1"/>
    </xf>
    <xf xfId="0" numFmtId="0" borderId="1" applyBorder="1" fontId="5" applyFont="1" fillId="0" applyAlignment="1">
      <alignment horizontal="left"/>
    </xf>
    <xf xfId="0" numFmtId="166" applyNumberFormat="1" borderId="2" applyBorder="1" fontId="3" applyFont="1" fillId="6" applyFill="1" applyAlignment="1">
      <alignment horizontal="center" wrapText="1"/>
    </xf>
    <xf xfId="0" numFmtId="3" applyNumberFormat="1" borderId="2" applyBorder="1" fontId="3" applyFont="1" fillId="6" applyFill="1" applyAlignment="1">
      <alignment horizontal="center" wrapText="1"/>
    </xf>
    <xf xfId="0" numFmtId="166" applyNumberFormat="1" borderId="1" applyBorder="1" fontId="3" applyFont="1" fillId="0" applyAlignment="1">
      <alignment horizontal="left" wrapText="1"/>
    </xf>
    <xf xfId="0" numFmtId="3" applyNumberFormat="1" borderId="1" applyBorder="1" fontId="3" applyFont="1" fillId="0" applyAlignment="1">
      <alignment horizontal="left" wrapText="1"/>
    </xf>
    <xf xfId="0" numFmtId="167" applyNumberFormat="1" borderId="0" fontId="0" fillId="0" applyAlignment="1">
      <alignment horizontal="general" wrapText="1"/>
    </xf>
    <xf xfId="0" numFmtId="0" borderId="0" fontId="0" fillId="0" applyAlignment="1">
      <alignment horizontal="general" wrapText="1"/>
    </xf>
    <xf xfId="0" numFmtId="166" applyNumberFormat="1" borderId="0" fontId="0" fillId="0" applyAlignment="1">
      <alignment horizontal="general" wrapText="1"/>
    </xf>
    <xf xfId="0" numFmtId="3" applyNumberFormat="1" borderId="0" fontId="0" fillId="0" applyAlignment="1">
      <alignment horizontal="general" wrapText="1"/>
    </xf>
    <xf xfId="0" numFmtId="16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9"/>
  <sheetViews>
    <sheetView workbookViewId="0" tabSelected="1"/>
  </sheetViews>
  <sheetFormatPr defaultRowHeight="15" x14ac:dyDescent="0.25"/>
  <cols>
    <col min="1" max="1" style="43" width="27.433571428571426" customWidth="1" bestFit="1"/>
    <col min="2" max="2" style="44" width="27.433571428571426" customWidth="1" bestFit="1"/>
    <col min="3" max="3" style="45" width="27.290714285714284" customWidth="1" bestFit="1"/>
    <col min="4" max="4" style="45" width="27.290714285714284" customWidth="1" bestFit="1"/>
    <col min="5" max="5" style="24" width="13.576428571428572" customWidth="1" bestFit="1"/>
  </cols>
  <sheetData>
    <row x14ac:dyDescent="0.25" r="1" customHeight="1" ht="15.75">
      <c r="A1" s="30" t="s">
        <v>50</v>
      </c>
      <c r="B1" s="31" t="s">
        <v>51</v>
      </c>
      <c r="C1" s="32" t="s">
        <v>52</v>
      </c>
      <c r="D1" s="33"/>
      <c r="E1" s="34" t="s">
        <v>53</v>
      </c>
    </row>
    <row x14ac:dyDescent="0.25" r="2" customHeight="1" ht="15.75">
      <c r="A2" s="35" t="s">
        <v>54</v>
      </c>
      <c r="B2" s="3" t="s">
        <v>55</v>
      </c>
      <c r="C2" s="32" t="s">
        <v>56</v>
      </c>
      <c r="D2" s="32" t="s">
        <v>57</v>
      </c>
      <c r="E2" s="36" t="s">
        <v>58</v>
      </c>
    </row>
    <row x14ac:dyDescent="0.25" r="3" customHeight="1" ht="18.75">
      <c r="A3" s="37" t="s">
        <v>59</v>
      </c>
      <c r="B3" s="38">
        <v>5</v>
      </c>
      <c r="C3" s="32">
        <f>'Curriculum Data'!H29</f>
        <v>25569.041666666668</v>
      </c>
      <c r="D3" s="32">
        <f>'Curriculum Data'!J29</f>
        <v>25569.041666666668</v>
      </c>
      <c r="E3" s="19"/>
    </row>
    <row x14ac:dyDescent="0.25" r="4" customHeight="1" ht="18.75" customFormat="1" s="1">
      <c r="A4" s="39"/>
      <c r="B4" s="40"/>
      <c r="C4" s="41"/>
      <c r="D4" s="41"/>
      <c r="E4" s="42"/>
    </row>
    <row x14ac:dyDescent="0.25" r="5" customHeight="1" ht="18.75" customFormat="1" s="1">
      <c r="A5" s="39"/>
      <c r="B5" s="40"/>
      <c r="C5" s="41"/>
      <c r="D5" s="41"/>
      <c r="E5" s="42"/>
    </row>
    <row x14ac:dyDescent="0.25" r="6" customHeight="1" ht="18.75" customFormat="1" s="1">
      <c r="A6" s="39"/>
      <c r="B6" s="40"/>
      <c r="C6" s="41"/>
      <c r="D6" s="41"/>
      <c r="E6" s="42"/>
    </row>
    <row x14ac:dyDescent="0.25" r="7" customHeight="1" ht="18.75" customFormat="1" s="1">
      <c r="A7" s="39"/>
      <c r="B7" s="40"/>
      <c r="C7" s="41"/>
      <c r="D7" s="41"/>
      <c r="E7" s="42"/>
    </row>
    <row x14ac:dyDescent="0.25" r="8" customHeight="1" ht="18.75" customFormat="1" s="1">
      <c r="A8" s="39"/>
      <c r="B8" s="40"/>
      <c r="C8" s="41"/>
      <c r="D8" s="41"/>
      <c r="E8" s="42"/>
    </row>
    <row x14ac:dyDescent="0.25" r="9" customHeight="1" ht="18.75" customFormat="1" s="1">
      <c r="A9" s="39"/>
      <c r="B9" s="40"/>
      <c r="C9" s="41"/>
      <c r="D9" s="41"/>
      <c r="E9" s="42"/>
    </row>
    <row x14ac:dyDescent="0.25" r="10" customHeight="1" ht="18.75" customFormat="1" s="1">
      <c r="A10" s="39"/>
      <c r="B10" s="40"/>
      <c r="C10" s="41"/>
      <c r="D10" s="41"/>
      <c r="E10" s="42"/>
    </row>
    <row x14ac:dyDescent="0.25" r="11" customHeight="1" ht="18.75" customFormat="1" s="1">
      <c r="A11" s="39"/>
      <c r="B11" s="40"/>
      <c r="C11" s="41"/>
      <c r="D11" s="41"/>
      <c r="E11" s="42"/>
    </row>
    <row x14ac:dyDescent="0.25" r="12" customHeight="1" ht="18.75" customFormat="1" s="1">
      <c r="A12" s="39"/>
      <c r="B12" s="40"/>
      <c r="C12" s="41"/>
      <c r="D12" s="41"/>
      <c r="E12" s="42"/>
    </row>
    <row x14ac:dyDescent="0.25" r="13" customHeight="1" ht="18.75" customFormat="1" s="1">
      <c r="A13" s="39"/>
      <c r="B13" s="40"/>
      <c r="C13" s="41"/>
      <c r="D13" s="41"/>
      <c r="E13" s="42"/>
    </row>
    <row x14ac:dyDescent="0.25" r="14" customHeight="1" ht="18.75" customFormat="1" s="1">
      <c r="A14" s="39"/>
      <c r="B14" s="40"/>
      <c r="C14" s="41"/>
      <c r="D14" s="41"/>
      <c r="E14" s="42"/>
    </row>
    <row x14ac:dyDescent="0.25" r="15" customHeight="1" ht="18.75" customFormat="1" s="1">
      <c r="A15" s="39"/>
      <c r="B15" s="40"/>
      <c r="C15" s="41"/>
      <c r="D15" s="41"/>
      <c r="E15" s="42"/>
    </row>
    <row x14ac:dyDescent="0.25" r="16" customHeight="1" ht="18.75" customFormat="1" s="1">
      <c r="A16" s="39"/>
      <c r="B16" s="40"/>
      <c r="C16" s="41"/>
      <c r="D16" s="41"/>
      <c r="E16" s="42"/>
    </row>
    <row x14ac:dyDescent="0.25" r="17" customHeight="1" ht="18.75" customFormat="1" s="1">
      <c r="A17" s="39"/>
      <c r="B17" s="40"/>
      <c r="C17" s="41"/>
      <c r="D17" s="41"/>
      <c r="E17" s="42"/>
    </row>
    <row x14ac:dyDescent="0.25" r="18" customHeight="1" ht="18.75" customFormat="1" s="1">
      <c r="A18" s="39"/>
      <c r="B18" s="40"/>
      <c r="C18" s="41"/>
      <c r="D18" s="41"/>
      <c r="E18" s="42"/>
    </row>
    <row x14ac:dyDescent="0.25" r="19" customHeight="1" ht="18.75" customFormat="1" s="1">
      <c r="A19" s="39"/>
      <c r="B19" s="40"/>
      <c r="C19" s="41"/>
      <c r="D19" s="41"/>
      <c r="E19" s="42"/>
    </row>
    <row x14ac:dyDescent="0.25" r="20" customHeight="1" ht="18.75" customFormat="1" s="1">
      <c r="A20" s="39"/>
      <c r="B20" s="40"/>
      <c r="C20" s="41"/>
      <c r="D20" s="41"/>
      <c r="E20" s="42"/>
    </row>
    <row x14ac:dyDescent="0.25" r="21" customHeight="1" ht="18.75" customFormat="1" s="1">
      <c r="A21" s="39"/>
      <c r="B21" s="40"/>
      <c r="C21" s="41"/>
      <c r="D21" s="41"/>
      <c r="E21" s="42"/>
    </row>
    <row x14ac:dyDescent="0.25" r="22" customHeight="1" ht="18.75" customFormat="1" s="1">
      <c r="A22" s="39"/>
      <c r="B22" s="40"/>
      <c r="C22" s="41"/>
      <c r="D22" s="41"/>
      <c r="E22" s="42"/>
    </row>
    <row x14ac:dyDescent="0.25" r="23" customHeight="1" ht="18.75" customFormat="1" s="1">
      <c r="A23" s="39"/>
      <c r="B23" s="40"/>
      <c r="C23" s="41"/>
      <c r="D23" s="41"/>
      <c r="E23" s="42"/>
    </row>
    <row x14ac:dyDescent="0.25" r="24" customHeight="1" ht="18.75" customFormat="1" s="1">
      <c r="A24" s="39"/>
      <c r="B24" s="40"/>
      <c r="C24" s="41"/>
      <c r="D24" s="41"/>
      <c r="E24" s="42"/>
    </row>
    <row x14ac:dyDescent="0.25" r="25" customHeight="1" ht="18.75" customFormat="1" s="1">
      <c r="A25" s="39"/>
      <c r="B25" s="40"/>
      <c r="C25" s="41"/>
      <c r="D25" s="41"/>
      <c r="E25" s="42"/>
    </row>
    <row x14ac:dyDescent="0.25" r="26" customHeight="1" ht="18.75" customFormat="1" s="1">
      <c r="A26" s="39"/>
      <c r="B26" s="40"/>
      <c r="C26" s="41"/>
      <c r="D26" s="41"/>
      <c r="E26" s="42"/>
    </row>
    <row x14ac:dyDescent="0.25" r="27" customHeight="1" ht="18.75" customFormat="1" s="1">
      <c r="A27" s="39"/>
      <c r="B27" s="40"/>
      <c r="C27" s="41"/>
      <c r="D27" s="41"/>
      <c r="E27" s="42"/>
    </row>
    <row x14ac:dyDescent="0.25" r="28" customHeight="1" ht="18.75" customFormat="1" s="1">
      <c r="A28" s="39"/>
      <c r="B28" s="40"/>
      <c r="C28" s="41"/>
      <c r="D28" s="41"/>
      <c r="E28" s="42"/>
    </row>
    <row x14ac:dyDescent="0.25" r="29" customHeight="1" ht="18.75" customFormat="1" s="1">
      <c r="A29" s="39"/>
      <c r="B29" s="40"/>
      <c r="C29" s="41"/>
      <c r="D29" s="41"/>
      <c r="E29" s="42"/>
    </row>
    <row x14ac:dyDescent="0.25" r="30" customHeight="1" ht="18.75" customFormat="1" s="1">
      <c r="A30" s="39"/>
      <c r="B30" s="40"/>
      <c r="C30" s="41"/>
      <c r="D30" s="41"/>
      <c r="E30" s="42"/>
    </row>
    <row x14ac:dyDescent="0.25" r="31" customHeight="1" ht="18.75" customFormat="1" s="1">
      <c r="A31" s="39"/>
      <c r="B31" s="40"/>
      <c r="C31" s="41"/>
      <c r="D31" s="41"/>
      <c r="E31" s="42"/>
    </row>
    <row x14ac:dyDescent="0.25" r="32" customHeight="1" ht="18.75" customFormat="1" s="1">
      <c r="A32" s="39"/>
      <c r="B32" s="40"/>
      <c r="C32" s="41"/>
      <c r="D32" s="41"/>
      <c r="E32" s="42"/>
    </row>
    <row x14ac:dyDescent="0.25" r="33" customHeight="1" ht="18.75" customFormat="1" s="1">
      <c r="A33" s="39"/>
      <c r="B33" s="40"/>
      <c r="C33" s="41"/>
      <c r="D33" s="41"/>
      <c r="E33" s="42"/>
    </row>
    <row x14ac:dyDescent="0.25" r="34" customHeight="1" ht="18.75" customFormat="1" s="1">
      <c r="A34" s="39"/>
      <c r="B34" s="40"/>
      <c r="C34" s="41"/>
      <c r="D34" s="41"/>
      <c r="E34" s="42"/>
    </row>
    <row x14ac:dyDescent="0.25" r="35" customHeight="1" ht="18.75" customFormat="1" s="1">
      <c r="A35" s="39"/>
      <c r="B35" s="40"/>
      <c r="C35" s="41"/>
      <c r="D35" s="41"/>
      <c r="E35" s="42"/>
    </row>
    <row x14ac:dyDescent="0.25" r="36" customHeight="1" ht="18.75" customFormat="1" s="1">
      <c r="A36" s="39"/>
      <c r="B36" s="40"/>
      <c r="C36" s="41"/>
      <c r="D36" s="41"/>
      <c r="E36" s="42"/>
    </row>
    <row x14ac:dyDescent="0.25" r="37" customHeight="1" ht="18.75" customFormat="1" s="1">
      <c r="A37" s="39"/>
      <c r="B37" s="40"/>
      <c r="C37" s="41"/>
      <c r="D37" s="41"/>
      <c r="E37" s="42"/>
    </row>
    <row x14ac:dyDescent="0.25" r="38" customHeight="1" ht="18.75" customFormat="1" s="1">
      <c r="A38" s="39"/>
      <c r="B38" s="40"/>
      <c r="C38" s="41"/>
      <c r="D38" s="41"/>
      <c r="E38" s="42"/>
    </row>
    <row x14ac:dyDescent="0.25" r="39" customHeight="1" ht="18.75" customFormat="1" s="1">
      <c r="A39" s="39"/>
      <c r="B39" s="40"/>
      <c r="C39" s="41"/>
      <c r="D39" s="41"/>
      <c r="E39" s="42"/>
    </row>
  </sheetData>
  <mergeCells count="1">
    <mergeCell ref="C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4" width="60.005" customWidth="1" bestFit="1"/>
    <col min="2" max="2" style="24" width="18.862142857142857" customWidth="1" bestFit="1"/>
    <col min="3" max="3" style="25" width="10.43357142857143" customWidth="1" bestFit="1"/>
    <col min="4" max="4" style="26" width="14.290714285714287" customWidth="1" bestFit="1"/>
    <col min="5" max="5" style="27" width="12.862142857142858" customWidth="1" bestFit="1"/>
    <col min="6" max="6" style="27" width="13.005" customWidth="1" bestFit="1"/>
    <col min="7" max="7" style="28" width="9.43357142857143" customWidth="1" bestFit="1"/>
    <col min="8" max="8" style="29" width="12.005" customWidth="1" bestFit="1"/>
    <col min="9" max="9" style="28" width="9.43357142857143" customWidth="1" bestFit="1"/>
    <col min="10" max="10" style="29" width="12.290714285714287" customWidth="1" bestFit="1"/>
    <col min="11" max="11" style="24" width="13.719285714285713" customWidth="1" bestFit="1"/>
  </cols>
  <sheetData>
    <row x14ac:dyDescent="0.25" r="1" customHeight="1" ht="18.75" customFormat="1" s="1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8" t="s">
        <v>8</v>
      </c>
      <c r="J1" s="8" t="s">
        <v>9</v>
      </c>
      <c r="K1" s="9" t="s">
        <v>10</v>
      </c>
    </row>
    <row x14ac:dyDescent="0.25" r="2" customHeight="1" ht="18.75">
      <c r="A2" s="10" t="s">
        <v>11</v>
      </c>
      <c r="B2" s="11" t="s">
        <v>12</v>
      </c>
      <c r="C2" s="12">
        <v>1</v>
      </c>
      <c r="D2" s="12">
        <v>10</v>
      </c>
      <c r="E2" s="12">
        <v>10</v>
      </c>
      <c r="F2" s="12">
        <v>10</v>
      </c>
      <c r="G2" s="13">
        <f>Timeline!A3</f>
        <v>25569.041666666668</v>
      </c>
      <c r="H2" s="14">
        <f>IF(ISBLANK(K2),G2+(E2/(Timeline!$B$3/7)),K2)</f>
        <v>25569.041666666668</v>
      </c>
      <c r="I2" s="13">
        <f>Timeline!A3</f>
        <v>25569.041666666668</v>
      </c>
      <c r="J2" s="14">
        <f>IF(ISBLANK(K2),I2+(F2/(Timeline!$B$3/7)),K2)</f>
        <v>25569.041666666668</v>
      </c>
      <c r="K2" s="15"/>
    </row>
    <row x14ac:dyDescent="0.25" r="3" customHeight="1" ht="18.75">
      <c r="A3" s="16" t="s">
        <v>13</v>
      </c>
      <c r="B3" s="11" t="s">
        <v>14</v>
      </c>
      <c r="C3" s="12">
        <v>10</v>
      </c>
      <c r="D3" s="12">
        <v>10</v>
      </c>
      <c r="E3" s="12">
        <v>100</v>
      </c>
      <c r="F3" s="12">
        <v>100</v>
      </c>
      <c r="G3" s="13">
        <f>IF(ISBLANK(K2),H2,K2)</f>
        <v>25569.041666666668</v>
      </c>
      <c r="H3" s="14">
        <f>IF(ISBLANK(K3),G3+(E3/(Timeline!$B$3/7)),K3)</f>
        <v>25569.041666666668</v>
      </c>
      <c r="I3" s="13">
        <f>IF(ISBLANK(K2),J2,K2)</f>
        <v>25569.041666666668</v>
      </c>
      <c r="J3" s="14">
        <f>IF(ISBLANK(K3),I3+(F3/(Timeline!$B$3/7)),K3)</f>
        <v>25569.041666666668</v>
      </c>
      <c r="K3" s="15"/>
    </row>
    <row x14ac:dyDescent="0.25" r="4" customHeight="1" ht="18.75">
      <c r="A4" s="16" t="s">
        <v>15</v>
      </c>
      <c r="B4" s="11" t="s">
        <v>14</v>
      </c>
      <c r="C4" s="12">
        <v>9</v>
      </c>
      <c r="D4" s="12">
        <v>15</v>
      </c>
      <c r="E4" s="12">
        <v>135</v>
      </c>
      <c r="F4" s="12">
        <v>135</v>
      </c>
      <c r="G4" s="13">
        <f>IF(ISBLANK(K3),H3,K3)</f>
        <v>25569.041666666668</v>
      </c>
      <c r="H4" s="14">
        <f>IF(ISBLANK(K4),G4+(E4/(Timeline!$B$3/7)),K4)</f>
        <v>25569.041666666668</v>
      </c>
      <c r="I4" s="13">
        <f>IF(ISBLANK(K3),J3,K3)</f>
        <v>25569.041666666668</v>
      </c>
      <c r="J4" s="14">
        <f>IF(ISBLANK(K4),I4+(F4/(Timeline!$B$3/7)),K4)</f>
        <v>25569.041666666668</v>
      </c>
      <c r="K4" s="15"/>
    </row>
    <row x14ac:dyDescent="0.25" r="5" customHeight="1" ht="18.75">
      <c r="A5" s="10" t="s">
        <v>16</v>
      </c>
      <c r="B5" s="11" t="s">
        <v>14</v>
      </c>
      <c r="C5" s="12">
        <v>9</v>
      </c>
      <c r="D5" s="17" t="s">
        <v>17</v>
      </c>
      <c r="E5" s="12">
        <v>126</v>
      </c>
      <c r="F5" s="12">
        <v>144</v>
      </c>
      <c r="G5" s="13">
        <f>IF(ISBLANK(K4),H4,K4)</f>
        <v>25569.041666666668</v>
      </c>
      <c r="H5" s="14">
        <f>IF(ISBLANK(K5),G5+(E5/(Timeline!$B$3/7)),K5)</f>
        <v>25569.041666666668</v>
      </c>
      <c r="I5" s="13">
        <f>IF(ISBLANK(K4),J4,K4)</f>
        <v>25569.041666666668</v>
      </c>
      <c r="J5" s="14">
        <f>IF(ISBLANK(K5),I5+(F5/(Timeline!$B$3/7)),K5)</f>
        <v>25569.041666666668</v>
      </c>
      <c r="K5" s="18"/>
    </row>
    <row x14ac:dyDescent="0.25" r="6" customHeight="1" ht="18.75">
      <c r="A6" s="10" t="s">
        <v>18</v>
      </c>
      <c r="B6" s="11" t="s">
        <v>19</v>
      </c>
      <c r="C6" s="12">
        <v>14</v>
      </c>
      <c r="D6" s="17">
        <v>43971</v>
      </c>
      <c r="E6" s="12">
        <v>70</v>
      </c>
      <c r="F6" s="12">
        <v>280</v>
      </c>
      <c r="G6" s="13">
        <f>IF(ISBLANK(K5),H5,K5)</f>
        <v>25569.041666666668</v>
      </c>
      <c r="H6" s="14">
        <f>IF(ISBLANK(K6),G6+(E6/(Timeline!$B$3/7)),K6)</f>
        <v>25569.041666666668</v>
      </c>
      <c r="I6" s="13">
        <f>IF(ISBLANK(K5),J5,K5)</f>
        <v>25569.041666666668</v>
      </c>
      <c r="J6" s="14">
        <f>IF(ISBLANK(K6),I6+(F6/(Timeline!$B$3/7)),K6)</f>
        <v>25569.041666666668</v>
      </c>
      <c r="K6" s="18"/>
    </row>
    <row x14ac:dyDescent="0.25" r="7" customHeight="1" ht="18.75">
      <c r="A7" s="10" t="s">
        <v>20</v>
      </c>
      <c r="B7" s="11" t="s">
        <v>19</v>
      </c>
      <c r="C7" s="12">
        <v>6</v>
      </c>
      <c r="D7" s="17"/>
      <c r="E7" s="12">
        <v>53</v>
      </c>
      <c r="F7" s="12">
        <v>53</v>
      </c>
      <c r="G7" s="13">
        <f>IF(ISBLANK(K6),H6,K6)</f>
        <v>25569.041666666668</v>
      </c>
      <c r="H7" s="14">
        <f>IF(ISBLANK(K7),G7+(E7/(Timeline!$B$3/7)),K7)</f>
        <v>25569.041666666668</v>
      </c>
      <c r="I7" s="13">
        <f>IF(ISBLANK(K6),J6,K6)</f>
        <v>25569.041666666668</v>
      </c>
      <c r="J7" s="14">
        <f>IF(ISBLANK(K7),I7+(F7/(Timeline!$B$3/7)),K7)</f>
        <v>25569.041666666668</v>
      </c>
      <c r="K7" s="18"/>
    </row>
    <row x14ac:dyDescent="0.25" r="8" customHeight="1" ht="18.75">
      <c r="A8" s="10" t="s">
        <v>21</v>
      </c>
      <c r="B8" s="11" t="s">
        <v>19</v>
      </c>
      <c r="C8" s="12">
        <v>6</v>
      </c>
      <c r="D8" s="17"/>
      <c r="E8" s="12">
        <v>63</v>
      </c>
      <c r="F8" s="12">
        <v>63</v>
      </c>
      <c r="G8" s="13">
        <f>IF(ISBLANK(K7),H7,K7)</f>
        <v>25569.041666666668</v>
      </c>
      <c r="H8" s="14">
        <f>IF(ISBLANK(K8),G8+(E8/(Timeline!$B$3/7)),K8)</f>
        <v>25569.041666666668</v>
      </c>
      <c r="I8" s="13">
        <f>IF(ISBLANK(K7),J7,K7)</f>
        <v>25569.041666666668</v>
      </c>
      <c r="J8" s="14">
        <f>IF(ISBLANK(K8),I8+(F8/(Timeline!$B$3/7)),K8)</f>
        <v>25569.041666666668</v>
      </c>
      <c r="K8" s="18"/>
    </row>
    <row x14ac:dyDescent="0.25" r="9" customHeight="1" ht="18.75">
      <c r="A9" s="10" t="s">
        <v>22</v>
      </c>
      <c r="B9" s="11" t="s">
        <v>23</v>
      </c>
      <c r="C9" s="12">
        <v>7</v>
      </c>
      <c r="D9" s="17"/>
      <c r="E9" s="12">
        <v>36</v>
      </c>
      <c r="F9" s="12">
        <v>36</v>
      </c>
      <c r="G9" s="13">
        <f>IF(ISBLANK(K8),H8,K8)</f>
        <v>25569.041666666668</v>
      </c>
      <c r="H9" s="14">
        <f>IF(ISBLANK(K9),G9+(E9/(Timeline!$B$3/7)),K9)</f>
        <v>25569.041666666668</v>
      </c>
      <c r="I9" s="13">
        <f>IF(ISBLANK(K8),J8,K8)</f>
        <v>25569.041666666668</v>
      </c>
      <c r="J9" s="14">
        <f>IF(ISBLANK(K9),I9+(F9/(Timeline!$B$3/7)),K9)</f>
        <v>25569.041666666668</v>
      </c>
      <c r="K9" s="18"/>
    </row>
    <row x14ac:dyDescent="0.25" r="10" customHeight="1" ht="18.75">
      <c r="A10" s="10" t="s">
        <v>24</v>
      </c>
      <c r="B10" s="11" t="s">
        <v>23</v>
      </c>
      <c r="C10" s="12">
        <v>5</v>
      </c>
      <c r="D10" s="17"/>
      <c r="E10" s="12">
        <v>23</v>
      </c>
      <c r="F10" s="12">
        <v>23</v>
      </c>
      <c r="G10" s="13">
        <f>IF(ISBLANK(K9),H9,K9)</f>
        <v>25569.041666666668</v>
      </c>
      <c r="H10" s="14">
        <f>IF(ISBLANK(K10),G10+(E10/(Timeline!$B$3/7)),K10)</f>
        <v>25569.041666666668</v>
      </c>
      <c r="I10" s="13">
        <f>IF(ISBLANK(K9),J9,K9)</f>
        <v>25569.041666666668</v>
      </c>
      <c r="J10" s="14">
        <f>IF(ISBLANK(K10),I10+(F10/(Timeline!$B$3/7)),K10)</f>
        <v>25569.041666666668</v>
      </c>
      <c r="K10" s="18"/>
    </row>
    <row x14ac:dyDescent="0.25" r="11" customHeight="1" ht="18.75">
      <c r="A11" s="10" t="s">
        <v>25</v>
      </c>
      <c r="B11" s="11" t="s">
        <v>23</v>
      </c>
      <c r="C11" s="12">
        <v>5</v>
      </c>
      <c r="D11" s="17"/>
      <c r="E11" s="12">
        <v>22</v>
      </c>
      <c r="F11" s="12">
        <v>22</v>
      </c>
      <c r="G11" s="13">
        <f>IF(ISBLANK(K10),H10,K10)</f>
        <v>25569.041666666668</v>
      </c>
      <c r="H11" s="14">
        <f>IF(ISBLANK(K11),G11+(E11/(Timeline!$B$3/7)),K11)</f>
        <v>25569.041666666668</v>
      </c>
      <c r="I11" s="13">
        <f>IF(ISBLANK(K10),J10,K10)</f>
        <v>25569.041666666668</v>
      </c>
      <c r="J11" s="14">
        <f>IF(ISBLANK(K11),I11+(F11/(Timeline!$B$3/7)),K11)</f>
        <v>25569.041666666668</v>
      </c>
      <c r="K11" s="18"/>
    </row>
    <row x14ac:dyDescent="0.25" r="12" customHeight="1" ht="18.75">
      <c r="A12" s="10" t="s">
        <v>26</v>
      </c>
      <c r="B12" s="11" t="s">
        <v>23</v>
      </c>
      <c r="C12" s="12">
        <v>5</v>
      </c>
      <c r="D12" s="17"/>
      <c r="E12" s="12">
        <v>22</v>
      </c>
      <c r="F12" s="12">
        <v>22</v>
      </c>
      <c r="G12" s="13">
        <f>IF(ISBLANK(K11),H11,K11)</f>
        <v>25569.041666666668</v>
      </c>
      <c r="H12" s="14">
        <f>IF(ISBLANK(K12),G12+(E12/(Timeline!$B$3/7)),K12)</f>
        <v>25569.041666666668</v>
      </c>
      <c r="I12" s="13">
        <f>IF(ISBLANK(K11),J11,K11)</f>
        <v>25569.041666666668</v>
      </c>
      <c r="J12" s="14">
        <f>IF(ISBLANK(K12),I12+(F12/(Timeline!$B$3/7)),K12)</f>
        <v>25569.041666666668</v>
      </c>
      <c r="K12" s="18"/>
    </row>
    <row x14ac:dyDescent="0.25" r="13" customHeight="1" ht="18.75">
      <c r="A13" s="10" t="s">
        <v>27</v>
      </c>
      <c r="B13" s="11" t="s">
        <v>23</v>
      </c>
      <c r="C13" s="12">
        <v>6</v>
      </c>
      <c r="D13" s="17"/>
      <c r="E13" s="12">
        <v>13</v>
      </c>
      <c r="F13" s="12">
        <v>13</v>
      </c>
      <c r="G13" s="13">
        <f>IF(ISBLANK(K12),H12,K12)</f>
        <v>25569.041666666668</v>
      </c>
      <c r="H13" s="14">
        <f>IF(ISBLANK(K13),G13+(E13/(Timeline!$B$3/7)),K13)</f>
        <v>25569.041666666668</v>
      </c>
      <c r="I13" s="13">
        <f>IF(ISBLANK(K12),J12,K12)</f>
        <v>25569.041666666668</v>
      </c>
      <c r="J13" s="14">
        <f>IF(ISBLANK(K13),I13+(F13/(Timeline!$B$3/7)),K13)</f>
        <v>25569.041666666668</v>
      </c>
      <c r="K13" s="18"/>
    </row>
    <row x14ac:dyDescent="0.25" r="14" customHeight="1" ht="18.75">
      <c r="A14" s="10" t="s">
        <v>28</v>
      </c>
      <c r="B14" s="11" t="s">
        <v>23</v>
      </c>
      <c r="C14" s="12">
        <v>12</v>
      </c>
      <c r="D14" s="17"/>
      <c r="E14" s="12">
        <v>40</v>
      </c>
      <c r="F14" s="12">
        <v>80</v>
      </c>
      <c r="G14" s="13">
        <f>IF(ISBLANK(K13),H13,K13)</f>
        <v>25569.041666666668</v>
      </c>
      <c r="H14" s="14">
        <f>IF(ISBLANK(K14),G14+(E14/(Timeline!$B$3/7)),K14)</f>
        <v>25569.041666666668</v>
      </c>
      <c r="I14" s="13">
        <f>IF(ISBLANK(K13),J13,K13)</f>
        <v>25569.041666666668</v>
      </c>
      <c r="J14" s="14">
        <f>IF(ISBLANK(K14),I14+(F14/(Timeline!$B$3/7)),K14)</f>
        <v>25569.041666666668</v>
      </c>
      <c r="K14" s="18"/>
    </row>
    <row x14ac:dyDescent="0.25" r="15" customHeight="1" ht="18.75">
      <c r="A15" s="16" t="s">
        <v>29</v>
      </c>
      <c r="B15" s="11" t="s">
        <v>30</v>
      </c>
      <c r="C15" s="12" t="s">
        <v>31</v>
      </c>
      <c r="D15" s="17">
        <v>43992</v>
      </c>
      <c r="E15" s="12">
        <v>78</v>
      </c>
      <c r="F15" s="12">
        <v>130</v>
      </c>
      <c r="G15" s="13">
        <f>IF(ISBLANK(K14),H14,K14)</f>
        <v>25569.041666666668</v>
      </c>
      <c r="H15" s="14">
        <f>IF(ISBLANK(K15),G15+(E15/(Timeline!$B$3/7)),K15)</f>
        <v>25569.041666666668</v>
      </c>
      <c r="I15" s="13">
        <f>IF(ISBLANK(K14),J14,K14)</f>
        <v>25569.041666666668</v>
      </c>
      <c r="J15" s="14">
        <f>IF(ISBLANK(K15),I15+(F15/(Timeline!$B$3/7)),K15)</f>
        <v>25569.041666666668</v>
      </c>
      <c r="K15" s="18"/>
    </row>
    <row x14ac:dyDescent="0.25" r="16" customHeight="1" ht="18.75">
      <c r="A16" s="16" t="s">
        <v>32</v>
      </c>
      <c r="B16" s="11" t="s">
        <v>30</v>
      </c>
      <c r="C16" s="12" t="s">
        <v>31</v>
      </c>
      <c r="D16" s="17">
        <v>43961</v>
      </c>
      <c r="E16" s="12">
        <v>65</v>
      </c>
      <c r="F16" s="12">
        <v>130</v>
      </c>
      <c r="G16" s="13">
        <f>IF(ISBLANK(K15),H15,K15)</f>
        <v>25569.041666666668</v>
      </c>
      <c r="H16" s="14">
        <f>IF(ISBLANK(K16),G16+(E16/(Timeline!$B$3/7)),K16)</f>
        <v>25569.041666666668</v>
      </c>
      <c r="I16" s="13">
        <f>IF(ISBLANK(K15),J15,K15)</f>
        <v>25569.041666666668</v>
      </c>
      <c r="J16" s="14">
        <f>IF(ISBLANK(K16),I16+(F16/(Timeline!$B$3/7)),K16)</f>
        <v>25569.041666666668</v>
      </c>
      <c r="K16" s="18"/>
    </row>
    <row x14ac:dyDescent="0.25" r="17" customHeight="1" ht="18.75">
      <c r="A17" s="16" t="s">
        <v>33</v>
      </c>
      <c r="B17" s="11" t="s">
        <v>30</v>
      </c>
      <c r="C17" s="12" t="s">
        <v>34</v>
      </c>
      <c r="D17" s="17">
        <v>43961</v>
      </c>
      <c r="E17" s="12">
        <v>30</v>
      </c>
      <c r="F17" s="12">
        <v>60</v>
      </c>
      <c r="G17" s="13">
        <f>IF(ISBLANK(K16),H16,K16)</f>
        <v>25569.041666666668</v>
      </c>
      <c r="H17" s="14">
        <f>IF(ISBLANK(K17),G17+(E17/(Timeline!$B$3/7)),K17)</f>
        <v>25569.041666666668</v>
      </c>
      <c r="I17" s="13">
        <f>IF(ISBLANK(K16),J16,K16)</f>
        <v>25569.041666666668</v>
      </c>
      <c r="J17" s="14">
        <f>IF(ISBLANK(K17),I17+(F17/(Timeline!$B$3/7)),K17)</f>
        <v>25569.041666666668</v>
      </c>
      <c r="K17" s="18"/>
    </row>
    <row x14ac:dyDescent="0.25" r="18" customHeight="1" ht="18.75">
      <c r="A18" s="10" t="s">
        <v>35</v>
      </c>
      <c r="B18" s="11" t="s">
        <v>35</v>
      </c>
      <c r="C18" s="12">
        <v>14</v>
      </c>
      <c r="D18" s="12">
        <v>12</v>
      </c>
      <c r="E18" s="12">
        <v>168</v>
      </c>
      <c r="F18" s="12">
        <v>168</v>
      </c>
      <c r="G18" s="13">
        <f>IF(ISBLANK(K17),H17,K17)</f>
        <v>25569.041666666668</v>
      </c>
      <c r="H18" s="14">
        <f>IF(ISBLANK(K18),G18+(E18/(Timeline!$B$3/7)),K18)</f>
        <v>25569.041666666668</v>
      </c>
      <c r="I18" s="13">
        <f>IF(ISBLANK(K17),J17,K17)</f>
        <v>25569.041666666668</v>
      </c>
      <c r="J18" s="14">
        <f>IF(ISBLANK(K18),I18+(F18/(Timeline!$B$3/7)),K18)</f>
        <v>25569.041666666668</v>
      </c>
      <c r="K18" s="18"/>
    </row>
    <row x14ac:dyDescent="0.25" r="19" customHeight="1" ht="18.75">
      <c r="A19" s="10" t="s">
        <v>36</v>
      </c>
      <c r="B19" s="11" t="s">
        <v>36</v>
      </c>
      <c r="C19" s="12">
        <v>14</v>
      </c>
      <c r="D19" s="12">
        <v>12</v>
      </c>
      <c r="E19" s="12">
        <v>168</v>
      </c>
      <c r="F19" s="12">
        <v>168</v>
      </c>
      <c r="G19" s="13">
        <f>IF(ISBLANK(K18),H18,K18)</f>
        <v>25569.041666666668</v>
      </c>
      <c r="H19" s="14">
        <f>IF(ISBLANK(K19),G19+(E19/(Timeline!$B$3/7)),K19)</f>
        <v>25569.041666666668</v>
      </c>
      <c r="I19" s="13">
        <f>IF(ISBLANK(K18),J18,K18)</f>
        <v>25569.041666666668</v>
      </c>
      <c r="J19" s="14">
        <f>IF(ISBLANK(K19),I19+(F19/(Timeline!$B$3/7)),K19)</f>
        <v>25569.041666666668</v>
      </c>
      <c r="K19" s="18"/>
    </row>
    <row x14ac:dyDescent="0.25" r="20" customHeight="1" ht="18.75">
      <c r="A20" s="10" t="s">
        <v>37</v>
      </c>
      <c r="B20" s="11" t="s">
        <v>38</v>
      </c>
      <c r="C20" s="12">
        <v>10</v>
      </c>
      <c r="D20" s="17">
        <v>43961</v>
      </c>
      <c r="E20" s="12">
        <v>50</v>
      </c>
      <c r="F20" s="12">
        <v>100</v>
      </c>
      <c r="G20" s="13">
        <f>IF(ISBLANK(K19),H19,K19)</f>
        <v>25569.041666666668</v>
      </c>
      <c r="H20" s="14">
        <f>IF(ISBLANK(K20),G20+(E20/(Timeline!$B$3/7)),K20)</f>
        <v>25569.041666666668</v>
      </c>
      <c r="I20" s="13">
        <f>IF(ISBLANK(K19),J19,K19)</f>
        <v>25569.041666666668</v>
      </c>
      <c r="J20" s="14">
        <f>IF(ISBLANK(K20),I20+(F20/(Timeline!$B$3/7)),K20)</f>
        <v>25569.041666666668</v>
      </c>
      <c r="K20" s="18"/>
    </row>
    <row x14ac:dyDescent="0.25" r="21" customHeight="1" ht="18.75">
      <c r="A21" s="10" t="s">
        <v>39</v>
      </c>
      <c r="B21" s="11" t="s">
        <v>38</v>
      </c>
      <c r="C21" s="12">
        <v>7</v>
      </c>
      <c r="D21" s="17">
        <v>43961</v>
      </c>
      <c r="E21" s="12">
        <v>35</v>
      </c>
      <c r="F21" s="12">
        <v>70</v>
      </c>
      <c r="G21" s="13">
        <f>IF(ISBLANK(K20),H20,K20)</f>
        <v>25569.041666666668</v>
      </c>
      <c r="H21" s="14">
        <f>IF(ISBLANK(K21),G21+(E21/(Timeline!$B$3/7)),K21)</f>
        <v>25569.041666666668</v>
      </c>
      <c r="I21" s="13">
        <f>IF(ISBLANK(K20),J20,K20)</f>
        <v>25569.041666666668</v>
      </c>
      <c r="J21" s="14">
        <f>IF(ISBLANK(K21),I21+(F21/(Timeline!$B$3/7)),K21)</f>
        <v>25569.041666666668</v>
      </c>
      <c r="K21" s="18"/>
    </row>
    <row x14ac:dyDescent="0.25" r="22" customHeight="1" ht="18.75">
      <c r="A22" s="10" t="s">
        <v>40</v>
      </c>
      <c r="B22" s="11" t="s">
        <v>38</v>
      </c>
      <c r="C22" s="12">
        <v>7</v>
      </c>
      <c r="D22" s="17">
        <v>43961</v>
      </c>
      <c r="E22" s="12">
        <v>35</v>
      </c>
      <c r="F22" s="12">
        <v>70</v>
      </c>
      <c r="G22" s="13">
        <f>IF(ISBLANK(K21),H21,K21)</f>
        <v>25569.041666666668</v>
      </c>
      <c r="H22" s="14">
        <f>IF(ISBLANK(K22),G22+(E22/(Timeline!$B$3/7)),K22)</f>
        <v>25569.041666666668</v>
      </c>
      <c r="I22" s="13">
        <f>IF(ISBLANK(K21),J21,K21)</f>
        <v>25569.041666666668</v>
      </c>
      <c r="J22" s="14">
        <f>IF(ISBLANK(K22),I22+(F22/(Timeline!$B$3/7)),K22)</f>
        <v>25569.041666666668</v>
      </c>
      <c r="K22" s="18"/>
    </row>
    <row x14ac:dyDescent="0.25" r="23" customHeight="1" ht="18.75">
      <c r="A23" s="10" t="s">
        <v>41</v>
      </c>
      <c r="B23" s="11" t="s">
        <v>42</v>
      </c>
      <c r="C23" s="12">
        <v>4</v>
      </c>
      <c r="D23" s="17"/>
      <c r="E23" s="12">
        <v>19</v>
      </c>
      <c r="F23" s="12">
        <v>19</v>
      </c>
      <c r="G23" s="13">
        <f>IF(ISBLANK(K22),H22,K22)</f>
        <v>25569.041666666668</v>
      </c>
      <c r="H23" s="14">
        <f>IF(ISBLANK(K23),G23+(E23/(Timeline!$B$3/7)),K23)</f>
        <v>25569.041666666668</v>
      </c>
      <c r="I23" s="13">
        <f>IF(ISBLANK(K22),J22,K22)</f>
        <v>25569.041666666668</v>
      </c>
      <c r="J23" s="14">
        <f>IF(ISBLANK(K23),I23+(F23/(Timeline!$B$3/7)),K23)</f>
        <v>25569.041666666668</v>
      </c>
      <c r="K23" s="18"/>
    </row>
    <row x14ac:dyDescent="0.25" r="24" customHeight="1" ht="18.75">
      <c r="A24" s="10" t="s">
        <v>43</v>
      </c>
      <c r="B24" s="11" t="s">
        <v>42</v>
      </c>
      <c r="C24" s="12">
        <v>3</v>
      </c>
      <c r="D24" s="17"/>
      <c r="E24" s="12">
        <v>10</v>
      </c>
      <c r="F24" s="12">
        <v>10</v>
      </c>
      <c r="G24" s="13">
        <f>IF(ISBLANK(K23),H23,K23)</f>
        <v>25569.041666666668</v>
      </c>
      <c r="H24" s="14">
        <f>IF(ISBLANK(K24),G24+(E24/(Timeline!$B$3/7)),K24)</f>
        <v>25569.041666666668</v>
      </c>
      <c r="I24" s="13">
        <f>IF(ISBLANK(K23),J23,K23)</f>
        <v>25569.041666666668</v>
      </c>
      <c r="J24" s="14">
        <f>IF(ISBLANK(K24),I24+(F24/(Timeline!$B$3/7)),K24)</f>
        <v>25569.041666666668</v>
      </c>
      <c r="K24" s="18"/>
    </row>
    <row x14ac:dyDescent="0.25" r="25" customHeight="1" ht="18.75">
      <c r="A25" s="10" t="s">
        <v>44</v>
      </c>
      <c r="B25" s="11" t="s">
        <v>42</v>
      </c>
      <c r="C25" s="12">
        <v>8</v>
      </c>
      <c r="D25" s="17">
        <v>43832</v>
      </c>
      <c r="E25" s="12">
        <v>8</v>
      </c>
      <c r="F25" s="12">
        <v>16</v>
      </c>
      <c r="G25" s="13">
        <f>IF(ISBLANK(K24),H24,K24)</f>
        <v>25569.041666666668</v>
      </c>
      <c r="H25" s="14">
        <f>IF(ISBLANK(K25),G25+(E25/(Timeline!$B$3/7)),K25)</f>
        <v>25569.041666666668</v>
      </c>
      <c r="I25" s="13">
        <f>IF(ISBLANK(K24),J24,K24)</f>
        <v>25569.041666666668</v>
      </c>
      <c r="J25" s="14">
        <f>IF(ISBLANK(K25),I25+(F25/(Timeline!$B$3/7)),K25)</f>
        <v>25569.041666666668</v>
      </c>
      <c r="K25" s="18"/>
    </row>
    <row x14ac:dyDescent="0.25" r="26" customHeight="1" ht="18.75">
      <c r="A26" s="10" t="s">
        <v>45</v>
      </c>
      <c r="B26" s="11" t="s">
        <v>46</v>
      </c>
      <c r="C26" s="12">
        <v>11</v>
      </c>
      <c r="D26" s="17"/>
      <c r="E26" s="12">
        <v>60</v>
      </c>
      <c r="F26" s="12">
        <v>60</v>
      </c>
      <c r="G26" s="13">
        <f>IF(ISBLANK(K25),H25,K25)</f>
        <v>25569.041666666668</v>
      </c>
      <c r="H26" s="14">
        <f>IF(ISBLANK(K26),G26+(E26/(Timeline!$B$3/7)),K26)</f>
        <v>25569.041666666668</v>
      </c>
      <c r="I26" s="13">
        <f>IF(ISBLANK(K25),J25,K25)</f>
        <v>25569.041666666668</v>
      </c>
      <c r="J26" s="14">
        <f>IF(ISBLANK(K26),I26+(F26/(Timeline!$B$3/7)),K26)</f>
        <v>25569.041666666668</v>
      </c>
      <c r="K26" s="18"/>
    </row>
    <row x14ac:dyDescent="0.25" r="27" customHeight="1" ht="18.75">
      <c r="A27" s="10" t="s">
        <v>47</v>
      </c>
      <c r="B27" s="11" t="s">
        <v>46</v>
      </c>
      <c r="C27" s="12">
        <v>10</v>
      </c>
      <c r="D27" s="17">
        <v>43961</v>
      </c>
      <c r="E27" s="12">
        <v>50</v>
      </c>
      <c r="F27" s="12">
        <v>100</v>
      </c>
      <c r="G27" s="13">
        <f>IF(ISBLANK(K26),H26,K26)</f>
        <v>25569.041666666668</v>
      </c>
      <c r="H27" s="14">
        <f>IF(ISBLANK(K27),G27+(E27/(Timeline!$B$3/7)),K27)</f>
        <v>25569.041666666668</v>
      </c>
      <c r="I27" s="13">
        <f>IF(ISBLANK(K26),J26,K26)</f>
        <v>25569.041666666668</v>
      </c>
      <c r="J27" s="14">
        <f>IF(ISBLANK(K27),I27+(F27/(Timeline!$B$3/7)),K27)</f>
        <v>25569.041666666668</v>
      </c>
      <c r="K27" s="18"/>
    </row>
    <row x14ac:dyDescent="0.25" r="28" customHeight="1" ht="18.75">
      <c r="A28" s="10" t="s">
        <v>48</v>
      </c>
      <c r="B28" s="11" t="s">
        <v>46</v>
      </c>
      <c r="C28" s="12">
        <v>7</v>
      </c>
      <c r="D28" s="17">
        <v>43961</v>
      </c>
      <c r="E28" s="12">
        <v>35</v>
      </c>
      <c r="F28" s="12">
        <v>70</v>
      </c>
      <c r="G28" s="13">
        <f>IF(ISBLANK(K27),H27,K27)</f>
        <v>25569.041666666668</v>
      </c>
      <c r="H28" s="14">
        <f>IF(ISBLANK(K28),G28+(E28/(Timeline!$B$3/7)),K28)</f>
        <v>25569.041666666668</v>
      </c>
      <c r="I28" s="13">
        <f>IF(ISBLANK(K27),J27,K27)</f>
        <v>25569.041666666668</v>
      </c>
      <c r="J28" s="14">
        <f>IF(ISBLANK(K28),I28+(F28/(Timeline!$B$3/7)),K28)</f>
        <v>25569.041666666668</v>
      </c>
      <c r="K28" s="18"/>
    </row>
    <row x14ac:dyDescent="0.25" r="29" customHeight="1" ht="18.75">
      <c r="A29" s="10" t="s">
        <v>49</v>
      </c>
      <c r="B29" s="11" t="s">
        <v>46</v>
      </c>
      <c r="C29" s="12">
        <v>6</v>
      </c>
      <c r="D29" s="17"/>
      <c r="E29" s="12">
        <v>22</v>
      </c>
      <c r="F29" s="12">
        <v>22</v>
      </c>
      <c r="G29" s="13">
        <f>IF(ISBLANK(K28),H28,K28)</f>
        <v>25569.041666666668</v>
      </c>
      <c r="H29" s="14">
        <f>IF(ISBLANK(K29),G29+(E29/(Timeline!$B$3/7)),K29)</f>
        <v>25569.041666666668</v>
      </c>
      <c r="I29" s="13">
        <f>IF(ISBLANK(K28),J28,K28)</f>
        <v>25569.041666666668</v>
      </c>
      <c r="J29" s="14">
        <f>IF(ISBLANK(K29),I29+(F29/(Timeline!$B$3/7)),K29)</f>
        <v>25569.041666666668</v>
      </c>
      <c r="K29" s="18"/>
    </row>
    <row x14ac:dyDescent="0.25" r="30" customHeight="1" ht="18.75">
      <c r="A30" s="11"/>
      <c r="B30" s="19"/>
      <c r="C30" s="12"/>
      <c r="D30" s="17"/>
      <c r="E30" s="12"/>
      <c r="F30" s="12"/>
      <c r="G30" s="20"/>
      <c r="H30" s="14"/>
      <c r="I30" s="20"/>
      <c r="J30" s="14"/>
      <c r="K30" s="18"/>
    </row>
    <row x14ac:dyDescent="0.25" r="31" customHeight="1" ht="18.75">
      <c r="A31" s="11"/>
      <c r="B31" s="19"/>
      <c r="C31" s="12"/>
      <c r="D31" s="17"/>
      <c r="E31" s="12"/>
      <c r="F31" s="12"/>
      <c r="G31" s="20"/>
      <c r="H31" s="14"/>
      <c r="I31" s="20"/>
      <c r="J31" s="14"/>
      <c r="K31" s="18"/>
    </row>
    <row x14ac:dyDescent="0.25" r="32" customHeight="1" ht="18.75">
      <c r="A32" s="11"/>
      <c r="B32" s="19"/>
      <c r="C32" s="12"/>
      <c r="D32" s="17"/>
      <c r="E32" s="12"/>
      <c r="F32" s="12"/>
      <c r="G32" s="20"/>
      <c r="H32" s="14"/>
      <c r="I32" s="20"/>
      <c r="J32" s="14"/>
      <c r="K32" s="18"/>
    </row>
    <row x14ac:dyDescent="0.25" r="33" customHeight="1" ht="18.75">
      <c r="A33" s="11"/>
      <c r="B33" s="19"/>
      <c r="C33" s="12"/>
      <c r="D33" s="17"/>
      <c r="E33" s="12"/>
      <c r="F33" s="12"/>
      <c r="G33" s="20"/>
      <c r="H33" s="14"/>
      <c r="I33" s="20"/>
      <c r="J33" s="14"/>
      <c r="K33" s="18"/>
    </row>
    <row x14ac:dyDescent="0.25" r="34" customHeight="1" ht="18.75">
      <c r="A34" s="11"/>
      <c r="B34" s="19"/>
      <c r="C34" s="12"/>
      <c r="D34" s="17"/>
      <c r="E34" s="12"/>
      <c r="F34" s="12"/>
      <c r="G34" s="20"/>
      <c r="H34" s="14"/>
      <c r="I34" s="20"/>
      <c r="J34" s="14"/>
      <c r="K34" s="18"/>
    </row>
    <row x14ac:dyDescent="0.25" r="35" customHeight="1" ht="18.75">
      <c r="A35" s="11"/>
      <c r="B35" s="19"/>
      <c r="C35" s="12"/>
      <c r="D35" s="17"/>
      <c r="E35" s="12"/>
      <c r="F35" s="12"/>
      <c r="G35" s="20"/>
      <c r="H35" s="14"/>
      <c r="I35" s="20"/>
      <c r="J35" s="14"/>
      <c r="K35" s="18"/>
    </row>
    <row x14ac:dyDescent="0.25" r="36" customHeight="1" ht="18.75">
      <c r="A36" s="11"/>
      <c r="B36" s="19"/>
      <c r="C36" s="12"/>
      <c r="D36" s="17"/>
      <c r="E36" s="12"/>
      <c r="F36" s="12"/>
      <c r="G36" s="20"/>
      <c r="H36" s="14"/>
      <c r="I36" s="20"/>
      <c r="J36" s="14"/>
      <c r="K36" s="18"/>
    </row>
    <row x14ac:dyDescent="0.25" r="37" customHeight="1" ht="18.75">
      <c r="A37" s="11"/>
      <c r="B37" s="19"/>
      <c r="C37" s="12"/>
      <c r="D37" s="17"/>
      <c r="E37" s="12"/>
      <c r="F37" s="12"/>
      <c r="G37" s="20"/>
      <c r="H37" s="14"/>
      <c r="I37" s="20"/>
      <c r="J37" s="14"/>
      <c r="K37" s="18"/>
    </row>
    <row x14ac:dyDescent="0.25" r="38" customHeight="1" ht="18.75">
      <c r="A38" s="11"/>
      <c r="B38" s="19"/>
      <c r="C38" s="12"/>
      <c r="D38" s="17"/>
      <c r="E38" s="12"/>
      <c r="F38" s="12"/>
      <c r="G38" s="20"/>
      <c r="H38" s="14"/>
      <c r="I38" s="20"/>
      <c r="J38" s="14"/>
      <c r="K38" s="18"/>
    </row>
    <row x14ac:dyDescent="0.25" r="39" customHeight="1" ht="18.75">
      <c r="A39" s="11"/>
      <c r="B39" s="19"/>
      <c r="C39" s="12"/>
      <c r="D39" s="17"/>
      <c r="E39" s="12"/>
      <c r="F39" s="12"/>
      <c r="G39" s="20"/>
      <c r="H39" s="14"/>
      <c r="I39" s="20"/>
      <c r="J39" s="14"/>
      <c r="K39" s="18"/>
    </row>
    <row x14ac:dyDescent="0.25" r="40" customHeight="1" ht="18.75">
      <c r="A40" s="11"/>
      <c r="B40" s="19"/>
      <c r="C40" s="12"/>
      <c r="D40" s="17"/>
      <c r="E40" s="12"/>
      <c r="F40" s="12"/>
      <c r="G40" s="20"/>
      <c r="H40" s="14"/>
      <c r="I40" s="20"/>
      <c r="J40" s="14"/>
      <c r="K40" s="18"/>
    </row>
    <row x14ac:dyDescent="0.25" r="41" customHeight="1" ht="18.75">
      <c r="A41" s="11"/>
      <c r="B41" s="19"/>
      <c r="C41" s="12"/>
      <c r="D41" s="17"/>
      <c r="E41" s="12"/>
      <c r="F41" s="12"/>
      <c r="G41" s="20"/>
      <c r="H41" s="14"/>
      <c r="I41" s="20"/>
      <c r="J41" s="14"/>
      <c r="K41" s="18"/>
    </row>
    <row x14ac:dyDescent="0.25" r="42" customHeight="1" ht="18.75">
      <c r="A42" s="11"/>
      <c r="B42" s="19"/>
      <c r="C42" s="12"/>
      <c r="D42" s="17"/>
      <c r="E42" s="12"/>
      <c r="F42" s="12"/>
      <c r="G42" s="20"/>
      <c r="H42" s="14"/>
      <c r="I42" s="20"/>
      <c r="J42" s="14"/>
      <c r="K42" s="18"/>
    </row>
    <row x14ac:dyDescent="0.25" r="43" customHeight="1" ht="18.75">
      <c r="A43" s="11"/>
      <c r="B43" s="19"/>
      <c r="C43" s="12"/>
      <c r="D43" s="17"/>
      <c r="E43" s="12"/>
      <c r="F43" s="12"/>
      <c r="G43" s="20"/>
      <c r="H43" s="14"/>
      <c r="I43" s="20"/>
      <c r="J43" s="14"/>
      <c r="K43" s="18"/>
    </row>
    <row x14ac:dyDescent="0.25" r="44" customHeight="1" ht="18.75">
      <c r="A44" s="11"/>
      <c r="B44" s="19"/>
      <c r="C44" s="12"/>
      <c r="D44" s="17"/>
      <c r="E44" s="12"/>
      <c r="F44" s="12"/>
      <c r="G44" s="20"/>
      <c r="H44" s="14"/>
      <c r="I44" s="20"/>
      <c r="J44" s="14"/>
      <c r="K44" s="18"/>
    </row>
    <row x14ac:dyDescent="0.25" r="45" customHeight="1" ht="18.75">
      <c r="A45" s="11"/>
      <c r="B45" s="19"/>
      <c r="C45" s="12"/>
      <c r="D45" s="17"/>
      <c r="E45" s="12"/>
      <c r="F45" s="12"/>
      <c r="G45" s="20"/>
      <c r="H45" s="14"/>
      <c r="I45" s="20"/>
      <c r="J45" s="14"/>
      <c r="K45" s="18"/>
    </row>
    <row x14ac:dyDescent="0.25" r="46" customHeight="1" ht="18.75">
      <c r="A46" s="11"/>
      <c r="B46" s="19"/>
      <c r="C46" s="12"/>
      <c r="D46" s="17"/>
      <c r="E46" s="12"/>
      <c r="F46" s="12"/>
      <c r="G46" s="20"/>
      <c r="H46" s="14"/>
      <c r="I46" s="20"/>
      <c r="J46" s="14"/>
      <c r="K46" s="18"/>
    </row>
    <row x14ac:dyDescent="0.25" r="47" customHeight="1" ht="18.75">
      <c r="A47" s="11"/>
      <c r="B47" s="19"/>
      <c r="C47" s="12"/>
      <c r="D47" s="17"/>
      <c r="E47" s="12"/>
      <c r="F47" s="12"/>
      <c r="G47" s="20"/>
      <c r="H47" s="14"/>
      <c r="I47" s="20"/>
      <c r="J47" s="14"/>
      <c r="K47" s="18"/>
    </row>
    <row x14ac:dyDescent="0.25" r="48" customHeight="1" ht="18.75">
      <c r="A48" s="19"/>
      <c r="B48" s="19"/>
      <c r="C48" s="21"/>
      <c r="D48" s="22"/>
      <c r="E48" s="12"/>
      <c r="F48" s="12"/>
      <c r="G48" s="20"/>
      <c r="H48" s="14"/>
      <c r="I48" s="20"/>
      <c r="J48" s="14"/>
      <c r="K48" s="2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Timeline</vt:lpstr>
      <vt:lpstr>Curriculum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2026-01-13T01:49:19.186Z</dcterms:created>
  <dcterms:modified xsi:type="dcterms:W3CDTF">2026-01-13T01:49:19.186Z</dcterms:modified>
</cp:coreProperties>
</file>